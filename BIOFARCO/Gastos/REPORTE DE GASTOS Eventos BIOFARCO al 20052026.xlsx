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" sheetId="1" r:id="rId5"/>
    <sheet state="visible" name="Junio" sheetId="2" r:id="rId6"/>
    <sheet state="visible" name="Julio" sheetId="3" r:id="rId7"/>
    <sheet state="visible" name="Agosto" sheetId="4" r:id="rId8"/>
    <sheet state="visible" name="Septiembre" sheetId="5" r:id="rId9"/>
    <sheet state="visible" name="Octubre" sheetId="6" r:id="rId10"/>
    <sheet state="hidden" name="OCTU" sheetId="7" r:id="rId11"/>
  </sheets>
  <definedNames/>
  <calcPr/>
</workbook>
</file>

<file path=xl/sharedStrings.xml><?xml version="1.0" encoding="utf-8"?>
<sst xmlns="http://schemas.openxmlformats.org/spreadsheetml/2006/main" count="455" uniqueCount="73">
  <si>
    <t>RELACION GASTOS</t>
  </si>
  <si>
    <t>Nombre:</t>
  </si>
  <si>
    <t>César A. Ascanio M.</t>
  </si>
  <si>
    <t>Mes Relacionado:</t>
  </si>
  <si>
    <t>Departamento:</t>
  </si>
  <si>
    <t>Comercial</t>
  </si>
  <si>
    <t>Motivo del Viaje:</t>
  </si>
  <si>
    <t>Ciudad Sede:</t>
  </si>
  <si>
    <t>Maracay</t>
  </si>
  <si>
    <t>Itinerario :</t>
  </si>
  <si>
    <t>Cargo:</t>
  </si>
  <si>
    <t>Representante Comercial</t>
  </si>
  <si>
    <t>Region:</t>
  </si>
  <si>
    <t>Aragua</t>
  </si>
  <si>
    <t>FECHA</t>
  </si>
  <si>
    <t>HOTEL (HOSPEDAJE)</t>
  </si>
  <si>
    <t>COMIDAS</t>
  </si>
  <si>
    <t>TAXI</t>
  </si>
  <si>
    <t>TASAS AEROPORTUARIAS</t>
  </si>
  <si>
    <t>CORREOS (CYBER)</t>
  </si>
  <si>
    <t>MATERIAL OFICINA</t>
  </si>
  <si>
    <t>ESTACIONAMIENTO</t>
  </si>
  <si>
    <t>REFRIGERIOS</t>
  </si>
  <si>
    <t>REUNION</t>
  </si>
  <si>
    <t>ATENCION CLIENTES</t>
  </si>
  <si>
    <t>SUB-TOTAL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</si>
  <si>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</si>
  <si>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</si>
  <si>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</si>
  <si>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</si>
  <si>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</si>
  <si>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</si>
  <si>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</si>
  <si>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</si>
  <si>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</si>
  <si>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</si>
  <si>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</si>
  <si>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</si>
  <si>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</si>
  <si>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</si>
  <si>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</si>
  <si>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</si>
  <si>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</si>
  <si>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</si>
  <si>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</si>
  <si>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</si>
  <si>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</si>
  <si>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</si>
  <si>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</si>
  <si>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</si>
  <si>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</si>
  <si>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</si>
  <si>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</si>
  <si>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</si>
  <si>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</si>
  <si>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</si>
  <si>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</si>
  <si>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TOTALES</t>
  </si>
  <si>
    <t>MONTO RELACION</t>
  </si>
  <si>
    <t>ADELANTO</t>
  </si>
  <si>
    <t>SALDO</t>
  </si>
  <si>
    <t>César Ascanio</t>
  </si>
  <si>
    <t>Migdaly Carrera</t>
  </si>
  <si>
    <t>FIRMA TRABAJADOR</t>
  </si>
  <si>
    <t>FIRMA SUPERVISOR</t>
  </si>
  <si>
    <t>RELACION GASTOS DE VIAJE</t>
  </si>
  <si>
    <t>ILIANA RODRIGUEZ</t>
  </si>
  <si>
    <t>OCTUBRE</t>
  </si>
  <si>
    <t>VENTAS</t>
  </si>
  <si>
    <t>CHARLAS-COMIDAS</t>
  </si>
  <si>
    <t>MCBO</t>
  </si>
  <si>
    <t>ASESORA DE VENTAS</t>
  </si>
  <si>
    <t>ZULIANA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</si>
</sst>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8.0"/>
      <color rgb="FF000000"/>
      <name val="Century Gothic"/>
    </font>
    <font>
      <b/>
      <sz val="26.0"/>
      <color rgb="FF000000"/>
      <name val="Century Gothic"/>
    </font>
    <font>
      <b/>
      <sz val="8.0"/>
      <color rgb="FF000000"/>
      <name val="Century Gothic"/>
    </font>
    <font/>
    <font>
      <sz val="26.0"/>
      <color rgb="FF000000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20">
    <border/>
    <border>
      <bottom style="hair">
        <color rgb="FF000000"/>
      </bottom>
    </border>
    <border>
      <left/>
      <right style="medium">
        <color rgb="FFFFFFFF"/>
      </right>
      <top/>
      <bottom/>
    </border>
    <border>
      <left style="medium">
        <color rgb="FFFFFFFF"/>
      </left>
      <right style="medium">
        <color rgb="FFFFFFFF"/>
      </right>
      <top/>
      <bottom/>
    </border>
    <border>
      <left style="medium">
        <color rgb="FFFFFFFF"/>
      </left>
      <right/>
      <top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FFFFFF"/>
      </right>
      <top style="hair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hair">
        <color rgb="FF000000"/>
      </top>
      <bottom style="thin">
        <color rgb="FF000000"/>
      </bottom>
    </border>
    <border>
      <left style="medium">
        <color rgb="FFFFFFFF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right style="medium">
        <color rgb="FFFFFFFF"/>
      </right>
      <top/>
      <bottom/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Border="1" applyFont="1"/>
    <xf borderId="0" fillId="0" fontId="1" numFmtId="0" xfId="0" applyAlignment="1" applyFont="1">
      <alignment vertical="center"/>
    </xf>
    <xf borderId="1" fillId="0" fontId="1" numFmtId="17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6" fillId="0" fontId="1" numFmtId="4" xfId="0" applyAlignment="1" applyBorder="1" applyFont="1" applyNumberFormat="1">
      <alignment horizontal="right" vertical="center"/>
    </xf>
    <xf borderId="7" fillId="3" fontId="1" numFmtId="4" xfId="0" applyAlignment="1" applyBorder="1" applyFill="1" applyFont="1" applyNumberFormat="1">
      <alignment horizontal="right" vertical="center"/>
    </xf>
    <xf borderId="8" fillId="0" fontId="1" numFmtId="0" xfId="0" applyAlignment="1" applyBorder="1" applyFont="1">
      <alignment horizontal="center" vertical="center"/>
    </xf>
    <xf borderId="9" fillId="0" fontId="1" numFmtId="4" xfId="0" applyAlignment="1" applyBorder="1" applyFont="1" applyNumberFormat="1">
      <alignment horizontal="right" vertical="center"/>
    </xf>
    <xf borderId="10" fillId="3" fontId="1" numFmtId="4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1" fillId="0" fontId="1" numFmtId="4" xfId="0" applyAlignment="1" applyBorder="1" applyFont="1" applyNumberFormat="1">
      <alignment horizontal="right" vertical="center"/>
    </xf>
    <xf borderId="13" fillId="3" fontId="1" numFmtId="4" xfId="0" applyAlignment="1" applyBorder="1" applyFont="1" applyNumberFormat="1">
      <alignment horizontal="right" vertical="center"/>
    </xf>
    <xf borderId="14" fillId="2" fontId="3" numFmtId="0" xfId="0" applyAlignment="1" applyBorder="1" applyFont="1">
      <alignment horizontal="center" vertical="center"/>
    </xf>
    <xf borderId="15" fillId="2" fontId="3" numFmtId="4" xfId="0" applyAlignment="1" applyBorder="1" applyFont="1" applyNumberFormat="1">
      <alignment vertical="center"/>
    </xf>
    <xf borderId="16" fillId="2" fontId="3" numFmtId="4" xfId="0" applyAlignment="1" applyBorder="1" applyFont="1" applyNumberFormat="1">
      <alignment vertical="center"/>
    </xf>
    <xf borderId="17" fillId="2" fontId="3" numFmtId="0" xfId="0" applyAlignment="1" applyBorder="1" applyFont="1">
      <alignment horizontal="center"/>
    </xf>
    <xf borderId="18" fillId="0" fontId="4" numFmtId="0" xfId="0" applyBorder="1" applyFont="1"/>
    <xf borderId="3" fillId="2" fontId="3" numFmtId="0" xfId="0" applyBorder="1" applyFont="1"/>
    <xf borderId="4" fillId="2" fontId="3" numFmtId="0" xfId="0" applyAlignment="1" applyBorder="1" applyFont="1">
      <alignment horizontal="center"/>
    </xf>
    <xf borderId="17" fillId="3" fontId="1" numFmtId="4" xfId="0" applyAlignment="1" applyBorder="1" applyFont="1" applyNumberFormat="1">
      <alignment horizontal="center"/>
    </xf>
    <xf borderId="3" fillId="3" fontId="1" numFmtId="4" xfId="0" applyAlignment="1" applyBorder="1" applyFont="1" applyNumberFormat="1">
      <alignment horizontal="center"/>
    </xf>
    <xf borderId="4" fillId="3" fontId="1" numFmtId="4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9" fillId="0" fontId="1" numFmtId="0" xfId="0" applyAlignment="1" applyBorder="1" applyFont="1">
      <alignment horizontal="center"/>
    </xf>
    <xf borderId="19" fillId="0" fontId="4" numFmtId="0" xfId="0" applyBorder="1" applyFont="1"/>
    <xf borderId="9" fillId="0" fontId="1" numFmtId="4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center" vertical="center"/>
    </xf>
    <xf borderId="1" fillId="0" fontId="1" numFmtId="1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647700</xdr:colOff>
      <xdr:row>4</xdr:row>
      <xdr:rowOff>133350</xdr:rowOff>
    </xdr:from>
    <xdr:ext cx="19240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485900" cy="6477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45778.0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>
        <f>270.1+737.1</f>
        <v>1007.2</v>
      </c>
      <c r="J36" s="21"/>
      <c r="K36" s="18"/>
      <c r="L36" s="19">
        <f t="shared" si="1"/>
        <v>1007.2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1007.2</v>
      </c>
      <c r="J42" s="26">
        <f t="shared" si="2"/>
        <v>0</v>
      </c>
      <c r="K42" s="26">
        <f t="shared" si="2"/>
        <v>0</v>
      </c>
      <c r="L42" s="27">
        <f t="shared" si="2"/>
        <v>1007.2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1007.2</v>
      </c>
      <c r="I45" s="29"/>
      <c r="J45" s="33"/>
      <c r="K45" s="34">
        <f>H45-J45</f>
        <v>1007.2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6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45809.0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39">
        <v>1297.81</v>
      </c>
      <c r="J13" s="18"/>
      <c r="K13" s="18"/>
      <c r="L13" s="19">
        <f t="shared" si="1"/>
        <v>1297.81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>
        <f>1971.55</f>
        <v>1971.55</v>
      </c>
      <c r="J24" s="18"/>
      <c r="K24" s="18"/>
      <c r="L24" s="19">
        <f t="shared" si="1"/>
        <v>1971.55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18">
        <f>1685.16</f>
        <v>1685.16</v>
      </c>
      <c r="J27" s="18"/>
      <c r="K27" s="18"/>
      <c r="L27" s="19">
        <f t="shared" si="1"/>
        <v>1685.16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4954.52</v>
      </c>
      <c r="J42" s="26">
        <f t="shared" si="2"/>
        <v>0</v>
      </c>
      <c r="K42" s="26">
        <f t="shared" si="2"/>
        <v>0</v>
      </c>
      <c r="L42" s="27">
        <f t="shared" si="2"/>
        <v>4954.52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4954.52</v>
      </c>
      <c r="I45" s="29"/>
      <c r="J45" s="33"/>
      <c r="K45" s="34">
        <f>H45-J45</f>
        <v>4954.52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6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45839.0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39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39">
        <v>1105.51</v>
      </c>
      <c r="J14" s="18"/>
      <c r="K14" s="18"/>
      <c r="L14" s="19">
        <f t="shared" si="1"/>
        <v>1105.51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39">
        <v>4999.47</v>
      </c>
      <c r="J26" s="18"/>
      <c r="K26" s="18"/>
      <c r="L26" s="19">
        <f t="shared" si="1"/>
        <v>4999.47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39">
        <v>757.32</v>
      </c>
      <c r="J27" s="18"/>
      <c r="K27" s="18"/>
      <c r="L27" s="19">
        <f t="shared" si="1"/>
        <v>757.32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6862.3</v>
      </c>
      <c r="J42" s="26">
        <f t="shared" si="2"/>
        <v>0</v>
      </c>
      <c r="K42" s="26">
        <f t="shared" si="2"/>
        <v>0</v>
      </c>
      <c r="L42" s="27">
        <f t="shared" si="2"/>
        <v>6862.3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6862.3</v>
      </c>
      <c r="I45" s="29"/>
      <c r="J45" s="33"/>
      <c r="K45" s="34">
        <f>H45-J45</f>
        <v>6862.3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5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45870.0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39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39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39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39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18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0</v>
      </c>
      <c r="J42" s="26">
        <f t="shared" si="2"/>
        <v>0</v>
      </c>
      <c r="K42" s="26">
        <f t="shared" si="2"/>
        <v>0</v>
      </c>
      <c r="L42" s="27">
        <f t="shared" si="2"/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0</v>
      </c>
      <c r="I45" s="29"/>
      <c r="J45" s="33"/>
      <c r="K45" s="34">
        <f>H45-J45</f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5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45901.0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39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39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39">
        <v>1228.0</v>
      </c>
      <c r="J25" s="18"/>
      <c r="K25" s="18"/>
      <c r="L25" s="19">
        <f t="shared" si="1"/>
        <v>1228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39">
        <v>2004.54</v>
      </c>
      <c r="J26" s="18"/>
      <c r="K26" s="18"/>
      <c r="L26" s="19">
        <f t="shared" si="1"/>
        <v>2004.54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39">
        <v>1320.0</v>
      </c>
      <c r="J27" s="18"/>
      <c r="K27" s="18"/>
      <c r="L27" s="19">
        <f t="shared" si="1"/>
        <v>1320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18"/>
      <c r="J31" s="20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18"/>
      <c r="J34" s="20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39">
        <v>894.52</v>
      </c>
      <c r="J35" s="7"/>
      <c r="K35" s="18"/>
      <c r="L35" s="19">
        <f t="shared" si="1"/>
        <v>894.52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5447.06</v>
      </c>
      <c r="J42" s="26">
        <f t="shared" si="2"/>
        <v>0</v>
      </c>
      <c r="K42" s="26">
        <f t="shared" si="2"/>
        <v>0</v>
      </c>
      <c r="L42" s="27">
        <f t="shared" si="2"/>
        <v>5447.06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5447.06</v>
      </c>
      <c r="I45" s="29"/>
      <c r="J45" s="33"/>
      <c r="K45" s="34">
        <f>H45-J45</f>
        <v>5447.06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5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11.71"/>
    <col customWidth="1" min="2" max="2" width="11.57"/>
    <col customWidth="1" min="3" max="3" width="9.14"/>
    <col customWidth="1" min="4" max="4" width="7.43"/>
    <col customWidth="1" min="5" max="5" width="14.71"/>
    <col customWidth="1" min="6" max="6" width="10.14"/>
    <col customWidth="1" min="7" max="7" width="13.0"/>
    <col customWidth="1" min="8" max="8" width="15.43"/>
    <col customWidth="1" min="9" max="9" width="10.86"/>
    <col customWidth="1" min="10" max="10" width="9.43"/>
    <col customWidth="1" min="11" max="11" width="9.29"/>
    <col customWidth="1" min="12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1</v>
      </c>
      <c r="B5" s="5" t="s">
        <v>2</v>
      </c>
      <c r="C5" s="6"/>
      <c r="D5" s="7"/>
      <c r="E5" s="4" t="s">
        <v>3</v>
      </c>
      <c r="F5" s="8">
        <v>45931.0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 t="s">
        <v>4</v>
      </c>
      <c r="B6" s="5" t="s">
        <v>5</v>
      </c>
      <c r="C6" s="6"/>
      <c r="D6" s="7"/>
      <c r="E6" s="4" t="s">
        <v>6</v>
      </c>
      <c r="F6" s="9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 t="s">
        <v>7</v>
      </c>
      <c r="B7" s="5" t="s">
        <v>8</v>
      </c>
      <c r="C7" s="6"/>
      <c r="D7" s="7"/>
      <c r="E7" s="4" t="s">
        <v>9</v>
      </c>
      <c r="F7" s="9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10</v>
      </c>
      <c r="B8" s="5" t="s">
        <v>11</v>
      </c>
      <c r="C8" s="6"/>
      <c r="D8" s="7"/>
      <c r="E8" s="4" t="s">
        <v>12</v>
      </c>
      <c r="F8" s="5" t="s">
        <v>13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0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1" t="s">
        <v>21</v>
      </c>
      <c r="I10" s="11" t="s">
        <v>22</v>
      </c>
      <c r="J10" s="11" t="s">
        <v>23</v>
      </c>
      <c r="K10" s="11" t="s">
        <v>24</v>
      </c>
      <c r="L10" s="12" t="s">
        <v>25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14" t="s">
        <v>26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>
        <f t="shared" ref="L11:L41" si="1">SUM(B11:K11)</f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17" t="s">
        <v>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>
        <f t="shared" si="1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17" t="s">
        <v>28</v>
      </c>
      <c r="B13" s="18"/>
      <c r="C13" s="18"/>
      <c r="D13" s="18"/>
      <c r="E13" s="18"/>
      <c r="F13" s="18"/>
      <c r="G13" s="18"/>
      <c r="H13" s="18"/>
      <c r="I13" s="39"/>
      <c r="J13" s="18"/>
      <c r="K13" s="18"/>
      <c r="L13" s="19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17" t="s">
        <v>29</v>
      </c>
      <c r="B14" s="18"/>
      <c r="C14" s="18"/>
      <c r="D14" s="18"/>
      <c r="E14" s="18"/>
      <c r="F14" s="18"/>
      <c r="G14" s="18"/>
      <c r="H14" s="18"/>
      <c r="I14" s="39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7" t="s">
        <v>30</v>
      </c>
      <c r="B15" s="18"/>
      <c r="C15" s="18"/>
      <c r="D15" s="18"/>
      <c r="E15" s="18"/>
      <c r="F15" s="18"/>
      <c r="G15" s="18"/>
      <c r="H15" s="18"/>
      <c r="I15" s="39">
        <v>2016.9</v>
      </c>
      <c r="J15" s="18"/>
      <c r="K15" s="18"/>
      <c r="L15" s="19">
        <f t="shared" si="1"/>
        <v>2016.9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17" t="s">
        <v>31</v>
      </c>
      <c r="B16" s="18"/>
      <c r="C16" s="18"/>
      <c r="D16" s="18"/>
      <c r="E16" s="18"/>
      <c r="F16" s="18"/>
      <c r="G16" s="18"/>
      <c r="H16" s="18"/>
      <c r="I16" s="39">
        <v>1726.05</v>
      </c>
      <c r="J16" s="18"/>
      <c r="K16" s="18"/>
      <c r="L16" s="19">
        <f t="shared" si="1"/>
        <v>1726.05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17" t="s">
        <v>32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17" t="s">
        <v>33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17" t="s">
        <v>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17" t="s">
        <v>35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17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17" t="s">
        <v>37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17" t="s">
        <v>38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17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17" t="s">
        <v>40</v>
      </c>
      <c r="B25" s="18"/>
      <c r="C25" s="18"/>
      <c r="D25" s="18"/>
      <c r="E25" s="18"/>
      <c r="F25" s="18"/>
      <c r="G25" s="18"/>
      <c r="H25" s="18"/>
      <c r="I25" s="39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17" t="s">
        <v>41</v>
      </c>
      <c r="B26" s="18"/>
      <c r="C26" s="18"/>
      <c r="D26" s="18"/>
      <c r="E26" s="18"/>
      <c r="F26" s="18"/>
      <c r="G26" s="18"/>
      <c r="H26" s="18"/>
      <c r="I26" s="39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17" t="s">
        <v>42</v>
      </c>
      <c r="B27" s="18"/>
      <c r="C27" s="18"/>
      <c r="D27" s="18"/>
      <c r="E27" s="18"/>
      <c r="F27" s="18"/>
      <c r="G27" s="18"/>
      <c r="H27" s="18"/>
      <c r="I27" s="39">
        <v>2269.68</v>
      </c>
      <c r="J27" s="18"/>
      <c r="K27" s="18"/>
      <c r="L27" s="19">
        <f t="shared" si="1"/>
        <v>2269.68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17" t="s">
        <v>43</v>
      </c>
      <c r="B28" s="18"/>
      <c r="C28" s="18"/>
      <c r="D28" s="18"/>
      <c r="E28" s="18"/>
      <c r="F28" s="18"/>
      <c r="G28" s="18"/>
      <c r="H28" s="18"/>
      <c r="I28" s="18"/>
      <c r="J28" s="20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17" t="s">
        <v>44</v>
      </c>
      <c r="B29" s="18"/>
      <c r="C29" s="18"/>
      <c r="D29" s="18"/>
      <c r="E29" s="18"/>
      <c r="F29" s="18"/>
      <c r="G29" s="18"/>
      <c r="H29" s="18"/>
      <c r="I29" s="18"/>
      <c r="J29" s="7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17" t="s">
        <v>45</v>
      </c>
      <c r="B30" s="18"/>
      <c r="C30" s="18"/>
      <c r="D30" s="18"/>
      <c r="E30" s="18"/>
      <c r="F30" s="18"/>
      <c r="G30" s="18"/>
      <c r="H30" s="18"/>
      <c r="I30" s="18"/>
      <c r="J30" s="20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17" t="s">
        <v>46</v>
      </c>
      <c r="B31" s="18"/>
      <c r="C31" s="18"/>
      <c r="D31" s="18"/>
      <c r="E31" s="18"/>
      <c r="F31" s="18"/>
      <c r="G31" s="18"/>
      <c r="H31" s="18"/>
      <c r="I31" s="39">
        <v>1174.57</v>
      </c>
      <c r="J31" s="20"/>
      <c r="K31" s="18"/>
      <c r="L31" s="19">
        <f t="shared" si="1"/>
        <v>1174.57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17" t="s">
        <v>47</v>
      </c>
      <c r="B32" s="18"/>
      <c r="C32" s="18"/>
      <c r="D32" s="18"/>
      <c r="E32" s="18"/>
      <c r="F32" s="18"/>
      <c r="G32" s="18"/>
      <c r="H32" s="18"/>
      <c r="I32" s="18"/>
      <c r="J32" s="7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17" t="s">
        <v>48</v>
      </c>
      <c r="B33" s="18"/>
      <c r="C33" s="18"/>
      <c r="D33" s="18"/>
      <c r="E33" s="18"/>
      <c r="F33" s="18"/>
      <c r="G33" s="18"/>
      <c r="H33" s="18"/>
      <c r="I33" s="18"/>
      <c r="J33" s="20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17" t="s">
        <v>49</v>
      </c>
      <c r="B34" s="18"/>
      <c r="C34" s="18"/>
      <c r="D34" s="18"/>
      <c r="E34" s="18"/>
      <c r="F34" s="18"/>
      <c r="G34" s="18"/>
      <c r="H34" s="18"/>
      <c r="I34" s="39">
        <v>3537.93</v>
      </c>
      <c r="J34" s="20"/>
      <c r="K34" s="18"/>
      <c r="L34" s="19">
        <f t="shared" si="1"/>
        <v>3537.93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17" t="s">
        <v>50</v>
      </c>
      <c r="B35" s="18"/>
      <c r="C35" s="18"/>
      <c r="D35" s="18"/>
      <c r="E35" s="18"/>
      <c r="F35" s="18"/>
      <c r="G35" s="18"/>
      <c r="H35" s="18"/>
      <c r="I35" s="39"/>
      <c r="J35" s="7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17" t="s">
        <v>51</v>
      </c>
      <c r="B36" s="18"/>
      <c r="C36" s="18"/>
      <c r="D36" s="18"/>
      <c r="E36" s="18"/>
      <c r="F36" s="18"/>
      <c r="G36" s="18"/>
      <c r="H36" s="18"/>
      <c r="I36" s="18"/>
      <c r="J36" s="21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17" t="s">
        <v>52</v>
      </c>
      <c r="B37" s="18"/>
      <c r="C37" s="18"/>
      <c r="D37" s="18"/>
      <c r="E37" s="18"/>
      <c r="F37" s="18"/>
      <c r="G37" s="18"/>
      <c r="H37" s="18"/>
      <c r="I37" s="18"/>
      <c r="J37" s="21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17" t="s">
        <v>53</v>
      </c>
      <c r="B38" s="18"/>
      <c r="C38" s="18"/>
      <c r="D38" s="18"/>
      <c r="E38" s="18"/>
      <c r="F38" s="18"/>
      <c r="G38" s="18"/>
      <c r="H38" s="18"/>
      <c r="I38" s="18"/>
      <c r="J38" s="20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17" t="s">
        <v>55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22" t="s">
        <v>56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4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25" t="s">
        <v>57</v>
      </c>
      <c r="B42" s="26">
        <f t="shared" ref="B42:L42" si="2">SUM(B11:B41)</f>
        <v>0</v>
      </c>
      <c r="C42" s="26">
        <f t="shared" si="2"/>
        <v>0</v>
      </c>
      <c r="D42" s="26">
        <f t="shared" si="2"/>
        <v>0</v>
      </c>
      <c r="E42" s="26">
        <f t="shared" si="2"/>
        <v>0</v>
      </c>
      <c r="F42" s="26">
        <f t="shared" si="2"/>
        <v>0</v>
      </c>
      <c r="G42" s="26">
        <f t="shared" si="2"/>
        <v>0</v>
      </c>
      <c r="H42" s="26">
        <f t="shared" si="2"/>
        <v>0</v>
      </c>
      <c r="I42" s="26">
        <f t="shared" si="2"/>
        <v>10725.13</v>
      </c>
      <c r="J42" s="26">
        <f t="shared" si="2"/>
        <v>0</v>
      </c>
      <c r="K42" s="26">
        <f t="shared" si="2"/>
        <v>0</v>
      </c>
      <c r="L42" s="27">
        <f t="shared" si="2"/>
        <v>10725.13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8" t="s">
        <v>58</v>
      </c>
      <c r="I44" s="29"/>
      <c r="J44" s="30" t="s">
        <v>59</v>
      </c>
      <c r="K44" s="31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32">
        <f>L42</f>
        <v>10725.13</v>
      </c>
      <c r="I45" s="29"/>
      <c r="J45" s="33"/>
      <c r="K45" s="34">
        <f>H45-J45</f>
        <v>10725.13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5" t="s">
        <v>61</v>
      </c>
      <c r="C46" s="2"/>
      <c r="D46" s="35" t="s">
        <v>62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7" t="s">
        <v>63</v>
      </c>
      <c r="B47" s="38"/>
      <c r="C47" s="2"/>
      <c r="D47" s="37" t="s">
        <v>64</v>
      </c>
      <c r="E47" s="3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7:G7"/>
    <mergeCell ref="F8:G8"/>
    <mergeCell ref="H44:I44"/>
    <mergeCell ref="H45:I45"/>
    <mergeCell ref="A46:B46"/>
    <mergeCell ref="D46:E46"/>
    <mergeCell ref="A47:B47"/>
    <mergeCell ref="D47:E47"/>
    <mergeCell ref="A2:L4"/>
    <mergeCell ref="B5:C5"/>
    <mergeCell ref="F5:G5"/>
    <mergeCell ref="B6:C6"/>
    <mergeCell ref="F6:G6"/>
    <mergeCell ref="B7:C7"/>
    <mergeCell ref="B8:C8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4" width="10.86"/>
    <col customWidth="1" min="5" max="5" width="13.29"/>
    <col customWidth="1" min="6" max="7" width="10.86"/>
    <col customWidth="1" min="8" max="8" width="15.86"/>
    <col customWidth="1" min="9" max="26" width="10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2"/>
      <c r="C2" s="40" t="s">
        <v>65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1</v>
      </c>
      <c r="B7" s="9" t="s">
        <v>66</v>
      </c>
      <c r="C7" s="6"/>
      <c r="D7" s="7"/>
      <c r="E7" s="4" t="s">
        <v>3</v>
      </c>
      <c r="F7" s="41" t="s">
        <v>67</v>
      </c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 t="s">
        <v>4</v>
      </c>
      <c r="B8" s="9" t="s">
        <v>68</v>
      </c>
      <c r="C8" s="6"/>
      <c r="D8" s="7"/>
      <c r="E8" s="4" t="s">
        <v>6</v>
      </c>
      <c r="F8" s="9" t="s">
        <v>69</v>
      </c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 t="s">
        <v>7</v>
      </c>
      <c r="B9" s="9" t="s">
        <v>70</v>
      </c>
      <c r="C9" s="6"/>
      <c r="D9" s="7"/>
      <c r="E9" s="4" t="s">
        <v>9</v>
      </c>
      <c r="F9" s="9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 t="s">
        <v>10</v>
      </c>
      <c r="B10" s="9" t="s">
        <v>71</v>
      </c>
      <c r="C10" s="6"/>
      <c r="D10" s="7"/>
      <c r="E10" s="4" t="s">
        <v>12</v>
      </c>
      <c r="F10" s="9" t="s">
        <v>72</v>
      </c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0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1" t="s">
        <v>24</v>
      </c>
      <c r="L12" s="12" t="s">
        <v>25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4" t="s">
        <v>26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>
        <f t="shared" ref="L13:L43" si="1">SUM(B13:K13)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17" t="s">
        <v>27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>
        <f t="shared" si="1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17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>
        <f t="shared" si="1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17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>
        <f t="shared" si="1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17" t="s">
        <v>30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si="1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17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>
        <f t="shared" si="1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17" t="s">
        <v>32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>
        <f t="shared" si="1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7" t="s">
        <v>33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>
        <f t="shared" si="1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17" t="s">
        <v>34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>
        <f t="shared" si="1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17" t="s">
        <v>35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f t="shared" si="1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0" customHeight="1">
      <c r="A23" s="17" t="s">
        <v>36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>
        <f t="shared" si="1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0" customHeight="1">
      <c r="A24" s="17" t="s">
        <v>37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>
        <f t="shared" si="1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17" t="s">
        <v>38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>
        <f t="shared" si="1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0" customHeight="1">
      <c r="A26" s="17" t="s">
        <v>39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>
        <f t="shared" si="1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0" customHeight="1">
      <c r="A27" s="17" t="s">
        <v>40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>
        <f t="shared" si="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17" t="s">
        <v>41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>
        <f t="shared" si="1"/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17" t="s">
        <v>42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>
        <f t="shared" si="1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17" t="s">
        <v>43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>
        <f t="shared" si="1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17" t="s">
        <v>44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>
        <f t="shared" si="1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0" customHeight="1">
      <c r="A32" s="17" t="s">
        <v>45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>
        <f t="shared" si="1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0" customHeight="1">
      <c r="A33" s="17" t="s">
        <v>46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9">
        <f t="shared" si="1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0" customHeight="1">
      <c r="A34" s="17" t="s">
        <v>47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>
        <f t="shared" si="1"/>
        <v>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17" t="s">
        <v>48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>
        <f t="shared" si="1"/>
        <v>0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0" customHeight="1">
      <c r="A36" s="17" t="s">
        <v>49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9">
        <f t="shared" si="1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17" t="s">
        <v>50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>
        <f t="shared" si="1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0" customHeight="1">
      <c r="A38" s="17" t="s">
        <v>51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>
        <f t="shared" si="1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0" customHeight="1">
      <c r="A39" s="17" t="s">
        <v>52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9">
        <f t="shared" si="1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0" customHeight="1">
      <c r="A40" s="17" t="s">
        <v>53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f t="shared" si="1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0" customHeight="1">
      <c r="A41" s="17" t="s">
        <v>54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f t="shared" si="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0" customHeight="1">
      <c r="A42" s="17" t="s">
        <v>55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9">
        <f t="shared" si="1"/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0" customHeight="1">
      <c r="A43" s="22" t="s">
        <v>56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4">
        <f t="shared" si="1"/>
        <v>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25" t="s">
        <v>57</v>
      </c>
      <c r="B44" s="26">
        <f t="shared" ref="B44:L44" si="2">SUM(B13:B43)</f>
        <v>0</v>
      </c>
      <c r="C44" s="26">
        <f t="shared" si="2"/>
        <v>0</v>
      </c>
      <c r="D44" s="26">
        <f t="shared" si="2"/>
        <v>0</v>
      </c>
      <c r="E44" s="26">
        <f t="shared" si="2"/>
        <v>0</v>
      </c>
      <c r="F44" s="26">
        <f t="shared" si="2"/>
        <v>0</v>
      </c>
      <c r="G44" s="26">
        <f t="shared" si="2"/>
        <v>0</v>
      </c>
      <c r="H44" s="26">
        <f t="shared" si="2"/>
        <v>0</v>
      </c>
      <c r="I44" s="26">
        <f t="shared" si="2"/>
        <v>0</v>
      </c>
      <c r="J44" s="26">
        <f t="shared" si="2"/>
        <v>0</v>
      </c>
      <c r="K44" s="26">
        <f t="shared" si="2"/>
        <v>0</v>
      </c>
      <c r="L44" s="27">
        <f t="shared" si="2"/>
        <v>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8" t="s">
        <v>58</v>
      </c>
      <c r="I46" s="29"/>
      <c r="J46" s="30" t="s">
        <v>59</v>
      </c>
      <c r="K46" s="31" t="s">
        <v>60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32">
        <f>L44</f>
        <v>0</v>
      </c>
      <c r="I47" s="29"/>
      <c r="J47" s="33">
        <v>2000.0</v>
      </c>
      <c r="K47" s="34">
        <f>H47-J47</f>
        <v>-2000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7" t="s">
        <v>63</v>
      </c>
      <c r="B49" s="38"/>
      <c r="C49" s="2"/>
      <c r="D49" s="37" t="s">
        <v>64</v>
      </c>
      <c r="E49" s="3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F9:G9"/>
    <mergeCell ref="F10:G10"/>
    <mergeCell ref="H46:I46"/>
    <mergeCell ref="H47:I47"/>
    <mergeCell ref="A49:B49"/>
    <mergeCell ref="D49:E49"/>
    <mergeCell ref="C2:L4"/>
    <mergeCell ref="B7:C7"/>
    <mergeCell ref="F7:G7"/>
    <mergeCell ref="B8:C8"/>
    <mergeCell ref="F8:G8"/>
    <mergeCell ref="B9:C9"/>
    <mergeCell ref="B10:C10"/>
  </mergeCells>
  <printOptions horizontalCentered="1"/>
  <pageMargins bottom="0.15748031496062992" footer="0.0" header="0.0" left="0.2362204724409449" right="0.2362204724409449" top="0.31496062992125984"/>
  <pageSetup scale="80" orientation="landscape"/>
  <drawing r:id="rId1"/>
</worksheet>
</file>