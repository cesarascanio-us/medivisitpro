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ril" sheetId="1" r:id="rId5"/>
    <sheet state="visible" name="Mayo" sheetId="2" r:id="rId6"/>
    <sheet state="hidden" name="OCTU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tc={4a4e36c7-fcc9-4627-bdb1-c952ec125b5e}</author>
    <author>tc={9314c10b-aa47-403a-be83-92902d76a883}</author>
    <author>tc={a3ed4f76-bd5f-46b3-8c4a-9a6e924e789b}</author>
    <author>tc={fc4b3f28-0727-471e-b7a4-8a7900db4325}</author>
  </authors>
  <commentList>
    <comment authorId="0" xr:uid="{4a4e36c7-fcc9-4627-bdb1-c952ec125b5e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20/05/2026
10$ de Gasolina
</t>
      </text>
    </comment>
    <comment authorId="1" xr:uid="{9314c10b-aa47-403a-be83-92902d76a883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20/05/2026
10$ representan 20 litros de gasolina
</t>
      </text>
    </comment>
    <comment authorId="2" xr:uid="{a3ed4f76-bd5f-46b3-8c4a-9a6e924e789b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Desayuno con la antigua representante comercial BIOFARCO para recuperar el stand
</t>
      </text>
    </comment>
    <comment authorId="3" xr:uid="{fc4b3f28-0727-471e-b7a4-8a7900db4325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Almuerzos:
Cesar Ascanio
Jose Francisco
</t>
      </text>
    </comment>
  </commentList>
</comments>
</file>

<file path=xl/sharedStrings.xml><?xml version="1.0" encoding="utf-8"?>
<sst xmlns="http://schemas.openxmlformats.org/spreadsheetml/2006/main" count="196" uniqueCount="75">
  <si>
    <t>RELACION GASTOS</t>
  </si>
  <si>
    <t>Nombre:</t>
  </si>
  <si>
    <t>César A. Ascanio M.</t>
  </si>
  <si>
    <t>Mes Relacionado:</t>
  </si>
  <si>
    <t>Departamento:</t>
  </si>
  <si>
    <t>Comercial</t>
  </si>
  <si>
    <t>Motivo del Viaje:</t>
  </si>
  <si>
    <t>Ciudad Sede:</t>
  </si>
  <si>
    <t>Maracay</t>
  </si>
  <si>
    <t>Itinerario :</t>
  </si>
  <si>
    <t>Cargo:</t>
  </si>
  <si>
    <t>Representante Comercial</t>
  </si>
  <si>
    <t>Region:</t>
  </si>
  <si>
    <t>Aragua</t>
  </si>
  <si>
    <t>FECHA</t>
  </si>
  <si>
    <t>HOTEL (HOSPEDAJE)</t>
  </si>
  <si>
    <t>COMIDAS</t>
  </si>
  <si>
    <t>TAXI</t>
  </si>
  <si>
    <t>TASAS AEROPORTUARIAS</t>
  </si>
  <si>
    <t>CORREOS (CYBER)</t>
  </si>
  <si>
    <t>MATERIAL OFICINA</t>
  </si>
  <si>
    <t>ESTACIONAMIENTO</t>
  </si>
  <si>
    <t>REFRIGERIOS</t>
  </si>
  <si>
    <t>REUNION</t>
  </si>
  <si>
    <t>ATENCION CLIENTES</t>
  </si>
  <si>
    <t>SUB-TOTAL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</si>
  <si>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</si>
  <si>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</si>
  <si>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</si>
  <si>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</si>
  <si>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</si>
  <si>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</si>
  <si>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</si>
  <si>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</si>
  <si>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</si>
  <si>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</si>
  <si>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</si>
  <si>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</si>
  <si>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</si>
  <si>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</si>
  <si>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</si>
  <si>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</si>
  <si>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</si>
  <si>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</si>
  <si>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</si>
  <si>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</si>
  <si>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</si>
  <si>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</si>
  <si>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</si>
  <si>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</si>
  <si>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</si>
  <si>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</si>
  <si>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</si>
  <si>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</si>
  <si>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</si>
  <si>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</si>
  <si>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</si>
  <si>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TOTALES</t>
  </si>
  <si>
    <t>MONTO RELACION</t>
  </si>
  <si>
    <t>ADELANTO</t>
  </si>
  <si>
    <t>SALDO</t>
  </si>
  <si>
    <t>César Ascanio</t>
  </si>
  <si>
    <t xml:space="preserve"> Paubla Briceño</t>
  </si>
  <si>
    <t>FIRMA TRABAJADOR</t>
  </si>
  <si>
    <t>FIRMA SUPERVISOR</t>
  </si>
  <si>
    <t>Inducion al representante de Carabobo</t>
  </si>
  <si>
    <t>Combustible</t>
  </si>
  <si>
    <t>RELACION GASTOS DE VIAJE</t>
  </si>
  <si>
    <t>ILIANA RODRIGUEZ</t>
  </si>
  <si>
    <t>OCTUBRE</t>
  </si>
  <si>
    <t>VENTAS</t>
  </si>
  <si>
    <t>CHARLAS-COMIDAS</t>
  </si>
  <si>
    <t>MCBO</t>
  </si>
  <si>
    <t>ASESORA DE VENTAS</t>
  </si>
  <si>
    <t>ZULIANA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</si>
</sst>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8.0"/>
      <color rgb="FF000000"/>
      <name val="Century Gothic"/>
    </font>
    <font>
      <b/>
      <sz val="26.0"/>
      <color rgb="FF000000"/>
      <name val="Century Gothic"/>
    </font>
    <font>
      <b/>
      <sz val="8.0"/>
      <color rgb="FF000000"/>
      <name val="Century Gothic"/>
    </font>
    <font/>
    <font>
      <sz val="26.0"/>
      <color rgb="FF000000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20">
    <border/>
    <border>
      <bottom style="hair">
        <color rgb="FF000000"/>
      </bottom>
    </border>
    <border>
      <left/>
      <right style="medium">
        <color rgb="FFFFFFFF"/>
      </right>
      <top/>
      <bottom/>
    </border>
    <border>
      <left style="medium">
        <color rgb="FFFFFFFF"/>
      </left>
      <right style="medium">
        <color rgb="FFFFFFFF"/>
      </right>
      <top/>
      <bottom/>
    </border>
    <border>
      <left style="medium">
        <color rgb="FFFFFFFF"/>
      </left>
      <right/>
      <top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FFFFFF"/>
      </right>
      <top style="hair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hair">
        <color rgb="FF000000"/>
      </top>
      <bottom style="thin">
        <color rgb="FF000000"/>
      </bottom>
    </border>
    <border>
      <left style="medium">
        <color rgb="FFFFFFFF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right style="medium">
        <color rgb="FFFFFFFF"/>
      </right>
      <top/>
      <bottom/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1" fillId="0" fontId="1" numFmtId="0" xfId="0" applyAlignment="1" applyBorder="1" applyFont="1">
      <alignment horizontal="center" readingOrder="0" vertical="center"/>
    </xf>
    <xf borderId="1" fillId="0" fontId="4" numFmtId="0" xfId="0" applyBorder="1" applyFont="1"/>
    <xf borderId="0" fillId="0" fontId="1" numFmtId="0" xfId="0" applyAlignment="1" applyFont="1">
      <alignment vertical="center"/>
    </xf>
    <xf borderId="1" fillId="0" fontId="1" numFmtId="17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6" fillId="0" fontId="1" numFmtId="4" xfId="0" applyAlignment="1" applyBorder="1" applyFont="1" applyNumberFormat="1">
      <alignment horizontal="right" vertical="center"/>
    </xf>
    <xf borderId="7" fillId="3" fontId="1" numFmtId="4" xfId="0" applyAlignment="1" applyBorder="1" applyFill="1" applyFont="1" applyNumberFormat="1">
      <alignment horizontal="right" vertical="center"/>
    </xf>
    <xf borderId="8" fillId="0" fontId="1" numFmtId="0" xfId="0" applyAlignment="1" applyBorder="1" applyFont="1">
      <alignment horizontal="center" vertical="center"/>
    </xf>
    <xf borderId="9" fillId="0" fontId="1" numFmtId="4" xfId="0" applyAlignment="1" applyBorder="1" applyFont="1" applyNumberFormat="1">
      <alignment horizontal="right" vertical="center"/>
    </xf>
    <xf borderId="10" fillId="3" fontId="1" numFmtId="4" xfId="0" applyAlignment="1" applyBorder="1" applyFont="1" applyNumberFormat="1">
      <alignment horizontal="right" vertical="center"/>
    </xf>
    <xf borderId="9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9" fillId="0" fontId="1" numFmtId="4" xfId="0" applyAlignment="1" applyBorder="1" applyFont="1" applyNumberFormat="1">
      <alignment horizontal="right" readingOrder="0" vertical="center"/>
    </xf>
    <xf borderId="12" fillId="0" fontId="1" numFmtId="0" xfId="0" applyAlignment="1" applyBorder="1" applyFont="1">
      <alignment horizontal="center" vertical="center"/>
    </xf>
    <xf borderId="11" fillId="0" fontId="1" numFmtId="4" xfId="0" applyAlignment="1" applyBorder="1" applyFont="1" applyNumberFormat="1">
      <alignment horizontal="right" vertical="center"/>
    </xf>
    <xf borderId="13" fillId="3" fontId="1" numFmtId="4" xfId="0" applyAlignment="1" applyBorder="1" applyFont="1" applyNumberFormat="1">
      <alignment horizontal="right" vertical="center"/>
    </xf>
    <xf borderId="14" fillId="2" fontId="3" numFmtId="0" xfId="0" applyAlignment="1" applyBorder="1" applyFont="1">
      <alignment horizontal="center" vertical="center"/>
    </xf>
    <xf borderId="15" fillId="2" fontId="3" numFmtId="4" xfId="0" applyAlignment="1" applyBorder="1" applyFont="1" applyNumberFormat="1">
      <alignment vertical="center"/>
    </xf>
    <xf borderId="16" fillId="2" fontId="3" numFmtId="4" xfId="0" applyAlignment="1" applyBorder="1" applyFont="1" applyNumberFormat="1">
      <alignment vertical="center"/>
    </xf>
    <xf borderId="17" fillId="2" fontId="3" numFmtId="0" xfId="0" applyAlignment="1" applyBorder="1" applyFont="1">
      <alignment horizontal="center"/>
    </xf>
    <xf borderId="18" fillId="0" fontId="4" numFmtId="0" xfId="0" applyBorder="1" applyFont="1"/>
    <xf borderId="3" fillId="2" fontId="3" numFmtId="0" xfId="0" applyBorder="1" applyFont="1"/>
    <xf borderId="4" fillId="2" fontId="3" numFmtId="0" xfId="0" applyAlignment="1" applyBorder="1" applyFont="1">
      <alignment horizontal="center"/>
    </xf>
    <xf borderId="17" fillId="3" fontId="1" numFmtId="4" xfId="0" applyAlignment="1" applyBorder="1" applyFont="1" applyNumberFormat="1">
      <alignment horizontal="center"/>
    </xf>
    <xf borderId="3" fillId="3" fontId="1" numFmtId="4" xfId="0" applyAlignment="1" applyBorder="1" applyFont="1" applyNumberFormat="1">
      <alignment horizontal="center"/>
    </xf>
    <xf borderId="4" fillId="3" fontId="1" numFmtId="4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9" fillId="0" fontId="1" numFmtId="0" xfId="0" applyAlignment="1" applyBorder="1" applyFont="1">
      <alignment horizontal="center"/>
    </xf>
    <xf borderId="19" fillId="0" fontId="4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" fillId="0" fontId="1" numFmtId="1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485900" cy="6477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Cesar A. Ascanio M." id="{489bc3dd-f4be-4d63-ab98-e8ffa06484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8" dT="2026-05-21T03:06:02.00" personId="{489bc3dd-f4be-4d63-ab98-e8ffa0648416}" id="{9314c10b-aa47-403a-be83-92902d76a883}" done="1">
    <x18tc:text xml:space="preserve">20/05/2026
10$ representan 20 litros de gasolina</x18tc:text>
  </x18tc:threadedComment>
  <x18tc:threadedComment ref="F18" dT="2026-05-21T03:09:57.00" personId="{489bc3dd-f4be-4d63-ab98-e8ffa0648416}" id="{4a4e36c7-fcc9-4627-bdb1-c952ec125b5e}" done="0">
    <x18tc:text xml:space="preserve">20/05/2026
10$ de Gasolina</x18tc:text>
  </x18tc:threadedComment>
  <x18tc:threadedComment ref="I18" dT="2026-05-21T03:03:06.00" personId="{489bc3dd-f4be-4d63-ab98-e8ffa0648416}" id="{a3ed4f76-bd5f-46b3-8c4a-9a6e924e789b}" done="0">
    <x18tc:text xml:space="preserve">Desayuno con la antigua representante comercial BIOFARCO para recuperar el stand</x18tc:text>
  </x18tc:threadedComment>
  <x18tc:threadedComment ref="C18" dT="2026-05-21T03:02:09.00" personId="{489bc3dd-f4be-4d63-ab98-e8ffa0648416}" id="{fc4b3f28-0727-471e-b7a4-8a7900db4325}" done="0">
    <x18tc:text xml:space="preserve">Almuerzos:
Cesar Ascanio
Jose Francisco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46113.0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>
        <f t="shared" si="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22">
        <v>3712.01</v>
      </c>
      <c r="J38" s="20"/>
      <c r="K38" s="18"/>
      <c r="L38" s="19">
        <f t="shared" si="1"/>
        <v>3712.01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3" t="s">
        <v>56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5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6" t="s">
        <v>57</v>
      </c>
      <c r="B42" s="27">
        <f t="shared" ref="B42:L42" si="2">SUM(B11:B41)</f>
        <v>0</v>
      </c>
      <c r="C42" s="27">
        <f t="shared" si="2"/>
        <v>0</v>
      </c>
      <c r="D42" s="27">
        <f t="shared" si="2"/>
        <v>0</v>
      </c>
      <c r="E42" s="27">
        <f t="shared" si="2"/>
        <v>0</v>
      </c>
      <c r="F42" s="27">
        <f t="shared" si="2"/>
        <v>0</v>
      </c>
      <c r="G42" s="27">
        <f t="shared" si="2"/>
        <v>0</v>
      </c>
      <c r="H42" s="27">
        <f t="shared" si="2"/>
        <v>0</v>
      </c>
      <c r="I42" s="27">
        <f t="shared" si="2"/>
        <v>3712.01</v>
      </c>
      <c r="J42" s="27">
        <f t="shared" si="2"/>
        <v>0</v>
      </c>
      <c r="K42" s="27">
        <f t="shared" si="2"/>
        <v>0</v>
      </c>
      <c r="L42" s="28">
        <f t="shared" si="2"/>
        <v>3712.01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9" t="s">
        <v>58</v>
      </c>
      <c r="I44" s="30"/>
      <c r="J44" s="31" t="s">
        <v>59</v>
      </c>
      <c r="K44" s="32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3">
        <f>L42</f>
        <v>3712.01</v>
      </c>
      <c r="I45" s="30"/>
      <c r="J45" s="34"/>
      <c r="K45" s="35">
        <f>H45-J45</f>
        <v>3712.01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6" t="s">
        <v>61</v>
      </c>
      <c r="C46" s="2"/>
      <c r="D46" s="37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8" t="s">
        <v>63</v>
      </c>
      <c r="B47" s="39"/>
      <c r="C47" s="2"/>
      <c r="D47" s="38" t="s">
        <v>64</v>
      </c>
      <c r="E47" s="3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43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46162.0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4</v>
      </c>
      <c r="B6" s="5" t="s">
        <v>5</v>
      </c>
      <c r="C6" s="6"/>
      <c r="D6" s="7"/>
      <c r="E6" s="4" t="s">
        <v>6</v>
      </c>
      <c r="F6" s="40" t="s">
        <v>65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41" t="s">
        <v>66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22">
        <v>9897.45</v>
      </c>
      <c r="D18" s="18"/>
      <c r="E18" s="18"/>
      <c r="F18" s="22">
        <v>5210.0</v>
      </c>
      <c r="G18" s="18"/>
      <c r="H18" s="18"/>
      <c r="I18" s="22">
        <v>3860.0</v>
      </c>
      <c r="J18" s="18"/>
      <c r="K18" s="18"/>
      <c r="L18" s="19">
        <f t="shared" si="1"/>
        <v>18967.45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>
        <f t="shared" si="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3" t="s">
        <v>56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5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6" t="s">
        <v>57</v>
      </c>
      <c r="B42" s="27">
        <f t="shared" ref="B42:L42" si="2">SUM(B11:B41)</f>
        <v>0</v>
      </c>
      <c r="C42" s="27">
        <f t="shared" si="2"/>
        <v>9897.45</v>
      </c>
      <c r="D42" s="27">
        <f t="shared" si="2"/>
        <v>0</v>
      </c>
      <c r="E42" s="27">
        <f t="shared" si="2"/>
        <v>0</v>
      </c>
      <c r="F42" s="27">
        <f t="shared" si="2"/>
        <v>5210</v>
      </c>
      <c r="G42" s="27">
        <f t="shared" si="2"/>
        <v>0</v>
      </c>
      <c r="H42" s="27">
        <f t="shared" si="2"/>
        <v>0</v>
      </c>
      <c r="I42" s="27">
        <f t="shared" si="2"/>
        <v>3860</v>
      </c>
      <c r="J42" s="27">
        <f t="shared" si="2"/>
        <v>0</v>
      </c>
      <c r="K42" s="27">
        <f t="shared" si="2"/>
        <v>0</v>
      </c>
      <c r="L42" s="28">
        <f t="shared" si="2"/>
        <v>18967.45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9" t="s">
        <v>58</v>
      </c>
      <c r="I44" s="30"/>
      <c r="J44" s="31" t="s">
        <v>59</v>
      </c>
      <c r="K44" s="32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3">
        <f>L42</f>
        <v>18967.45</v>
      </c>
      <c r="I45" s="30"/>
      <c r="J45" s="34"/>
      <c r="K45" s="35">
        <f>H45-J45</f>
        <v>18967.45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6" t="s">
        <v>61</v>
      </c>
      <c r="C46" s="2"/>
      <c r="D46" s="37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8" t="s">
        <v>63</v>
      </c>
      <c r="B47" s="39"/>
      <c r="C47" s="2"/>
      <c r="D47" s="38" t="s">
        <v>64</v>
      </c>
      <c r="E47" s="3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4" width="10.86"/>
    <col customWidth="1" min="5" max="5" width="13.29"/>
    <col customWidth="1" min="6" max="7" width="10.86"/>
    <col customWidth="1" min="8" max="8" width="15.86"/>
    <col customWidth="1" min="9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2"/>
      <c r="C2" s="42" t="s">
        <v>67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 t="s">
        <v>1</v>
      </c>
      <c r="B7" s="9" t="s">
        <v>68</v>
      </c>
      <c r="C7" s="6"/>
      <c r="D7" s="7"/>
      <c r="E7" s="4" t="s">
        <v>3</v>
      </c>
      <c r="F7" s="43" t="s">
        <v>69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4</v>
      </c>
      <c r="B8" s="9" t="s">
        <v>70</v>
      </c>
      <c r="C8" s="6"/>
      <c r="D8" s="7"/>
      <c r="E8" s="4" t="s">
        <v>6</v>
      </c>
      <c r="F8" s="9" t="s">
        <v>71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 t="s">
        <v>7</v>
      </c>
      <c r="B9" s="9" t="s">
        <v>72</v>
      </c>
      <c r="C9" s="6"/>
      <c r="D9" s="7"/>
      <c r="E9" s="4" t="s">
        <v>9</v>
      </c>
      <c r="F9" s="9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 t="s">
        <v>10</v>
      </c>
      <c r="B10" s="9" t="s">
        <v>73</v>
      </c>
      <c r="C10" s="6"/>
      <c r="D10" s="7"/>
      <c r="E10" s="4" t="s">
        <v>12</v>
      </c>
      <c r="F10" s="9" t="s">
        <v>74</v>
      </c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10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  <c r="K12" s="11" t="s">
        <v>24</v>
      </c>
      <c r="L12" s="12" t="s">
        <v>25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4" t="s">
        <v>26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>
        <f t="shared" ref="L13:L43" si="1">SUM(B13:K13)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17" t="s">
        <v>27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17" t="s">
        <v>28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17" t="s">
        <v>29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17" t="s">
        <v>30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17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17" t="s">
        <v>32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7" t="s">
        <v>33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17" t="s">
        <v>34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17" t="s">
        <v>35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0" customHeight="1">
      <c r="A23" s="17" t="s">
        <v>36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0" customHeight="1">
      <c r="A24" s="17" t="s">
        <v>37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0" customHeight="1">
      <c r="A25" s="17" t="s">
        <v>38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0" customHeight="1">
      <c r="A26" s="17" t="s">
        <v>39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0" customHeight="1">
      <c r="A27" s="17" t="s">
        <v>40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>
        <f t="shared" si="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0" customHeight="1">
      <c r="A28" s="17" t="s">
        <v>41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17" t="s">
        <v>42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17" t="s">
        <v>43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0" customHeight="1">
      <c r="A31" s="17" t="s">
        <v>44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0" customHeight="1">
      <c r="A32" s="17" t="s">
        <v>45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0" customHeight="1">
      <c r="A33" s="17" t="s">
        <v>46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0" customHeight="1">
      <c r="A34" s="17" t="s">
        <v>47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0" customHeight="1">
      <c r="A35" s="17" t="s">
        <v>48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0" customHeight="1">
      <c r="A36" s="17" t="s">
        <v>49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0" customHeight="1">
      <c r="A37" s="17" t="s">
        <v>50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0" customHeight="1">
      <c r="A38" s="17" t="s">
        <v>51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0" customHeight="1">
      <c r="A39" s="17" t="s">
        <v>52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0" customHeight="1">
      <c r="A40" s="17" t="s">
        <v>53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0" customHeight="1">
      <c r="A41" s="17" t="s">
        <v>54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0" customHeight="1">
      <c r="A42" s="17" t="s">
        <v>55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>
        <f t="shared" si="1"/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0" customHeight="1">
      <c r="A43" s="23" t="s">
        <v>56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5">
        <f t="shared" si="1"/>
        <v>0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26" t="s">
        <v>57</v>
      </c>
      <c r="B44" s="27">
        <f t="shared" ref="B44:L44" si="2">SUM(B13:B43)</f>
        <v>0</v>
      </c>
      <c r="C44" s="27">
        <f t="shared" si="2"/>
        <v>0</v>
      </c>
      <c r="D44" s="27">
        <f t="shared" si="2"/>
        <v>0</v>
      </c>
      <c r="E44" s="27">
        <f t="shared" si="2"/>
        <v>0</v>
      </c>
      <c r="F44" s="27">
        <f t="shared" si="2"/>
        <v>0</v>
      </c>
      <c r="G44" s="27">
        <f t="shared" si="2"/>
        <v>0</v>
      </c>
      <c r="H44" s="27">
        <f t="shared" si="2"/>
        <v>0</v>
      </c>
      <c r="I44" s="27">
        <f t="shared" si="2"/>
        <v>0</v>
      </c>
      <c r="J44" s="27">
        <f t="shared" si="2"/>
        <v>0</v>
      </c>
      <c r="K44" s="27">
        <f t="shared" si="2"/>
        <v>0</v>
      </c>
      <c r="L44" s="28">
        <f t="shared" si="2"/>
        <v>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9" t="s">
        <v>58</v>
      </c>
      <c r="I46" s="30"/>
      <c r="J46" s="31" t="s">
        <v>59</v>
      </c>
      <c r="K46" s="32" t="s">
        <v>60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33">
        <f>L44</f>
        <v>0</v>
      </c>
      <c r="I47" s="30"/>
      <c r="J47" s="34">
        <v>2000.0</v>
      </c>
      <c r="K47" s="35">
        <f>H47-J47</f>
        <v>-2000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8" t="s">
        <v>63</v>
      </c>
      <c r="B49" s="39"/>
      <c r="C49" s="2"/>
      <c r="D49" s="38" t="s">
        <v>64</v>
      </c>
      <c r="E49" s="3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F9:G9"/>
    <mergeCell ref="F10:G10"/>
    <mergeCell ref="H46:I46"/>
    <mergeCell ref="H47:I47"/>
    <mergeCell ref="A49:B49"/>
    <mergeCell ref="D49:E49"/>
    <mergeCell ref="C2:L4"/>
    <mergeCell ref="B7:C7"/>
    <mergeCell ref="F7:G7"/>
    <mergeCell ref="B8:C8"/>
    <mergeCell ref="F8:G8"/>
    <mergeCell ref="B9:C9"/>
    <mergeCell ref="B10:C10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